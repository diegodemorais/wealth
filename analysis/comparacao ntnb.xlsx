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torno Real USD" sheetId="2" state="visible" r:id="rId4"/>
    <sheet name="Simulação R$100k" sheetId="3" state="visible" r:id="rId5"/>
    <sheet name="Cenários Câmbio" sheetId="4" state="visible" r:id="rId6"/>
    <sheet name="Spread NTN-B vs TIPS" sheetId="5" state="visible" r:id="rId7"/>
    <sheet name="SoRR Aposentador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<sst xmlns="http://schemas.openxmlformats.org/spreadsheetml/2006/main" count="182" uniqueCount="168">
  <si>
    <t xml:space="preserve">PREMISSAS DO MODELO</t>
  </si>
  <si>
    <t xml:space="preserve">RENDIMENTOS LOCAIS (BRL)</t>
  </si>
  <si>
    <t xml:space="preserve">NTN-B yield real (IPCA+)</t>
  </si>
  <si>
    <t xml:space="preserve">Tesouro Direto mar/2026</t>
  </si>
  <si>
    <t xml:space="preserve">IPCA esperado</t>
  </si>
  <si>
    <t xml:space="preserve">Focus mediana</t>
  </si>
  <si>
    <t xml:space="preserve">NTN-B yield nominal</t>
  </si>
  <si>
    <t xml:space="preserve">DEPRECIAÇÃO CAMBIAL BRL/USD</t>
  </si>
  <si>
    <t xml:space="preserve">Cenário otimista (PPP puro)</t>
  </si>
  <si>
    <t xml:space="preserve">Diferencial inflação BR-US</t>
  </si>
  <si>
    <t xml:space="preserve">Cenário base (consenso)</t>
  </si>
  <si>
    <t xml:space="preserve">Institucional médio</t>
  </si>
  <si>
    <t xml:space="preserve">Cenário pessimista (hist. 20a)</t>
  </si>
  <si>
    <t xml:space="preserve">FRED BRL/USD 2006-2026</t>
  </si>
  <si>
    <t xml:space="preserve">ALTERNATIVAS GLOBAIS (retorno real USD)</t>
  </si>
  <si>
    <t xml:space="preserve">US TIPS 10 anos</t>
  </si>
  <si>
    <t xml:space="preserve">TIPS Watch mar/2026</t>
  </si>
  <si>
    <t xml:space="preserve">US T-bills real</t>
  </si>
  <si>
    <t xml:space="preserve">AQR CMA 2025</t>
  </si>
  <si>
    <t xml:space="preserve">Equities globais DM (SWRD-like)</t>
  </si>
  <si>
    <t xml:space="preserve">AQR/Vanguard CMA mediana</t>
  </si>
  <si>
    <t xml:space="preserve">Equities globais EM (AVEM-like)</t>
  </si>
  <si>
    <t xml:space="preserve">AQR/GMO CMA mediana</t>
  </si>
  <si>
    <t xml:space="preserve">Equities DM value/SC (AVGS-like)</t>
  </si>
  <si>
    <t xml:space="preserve">GMO deep value 7yr forecast</t>
  </si>
  <si>
    <t xml:space="preserve">EM local bonds (índice)</t>
  </si>
  <si>
    <t xml:space="preserve">JPM GBI-EM ajustado câmbio</t>
  </si>
  <si>
    <t xml:space="preserve">CUSTOS E IMPOSTOS</t>
  </si>
  <si>
    <t xml:space="preserve">Custódia TD (B3)</t>
  </si>
  <si>
    <t xml:space="preserve">0.20% a.a.</t>
  </si>
  <si>
    <t xml:space="preserve">TER IMAB11</t>
  </si>
  <si>
    <t xml:space="preserve">0.25% a.a.</t>
  </si>
  <si>
    <t xml:space="preserve">IR longo prazo (&gt;2 anos)</t>
  </si>
  <si>
    <t xml:space="preserve">15% atual</t>
  </si>
  <si>
    <t xml:space="preserve">IR ETF RF (MP 1262 se aprovada)</t>
  </si>
  <si>
    <t xml:space="preserve">20% proposta</t>
  </si>
  <si>
    <t xml:space="preserve">SPREAD NTN-B vs TIPS (decomposição)</t>
  </si>
  <si>
    <t xml:space="preserve">Spread real total</t>
  </si>
  <si>
    <t xml:space="preserve">  Risco cambial (~55%)</t>
  </si>
  <si>
    <t xml:space="preserve">  Risco de crédito (~30%)</t>
  </si>
  <si>
    <t xml:space="preserve">  Liquidez + term premium (~15%)</t>
  </si>
  <si>
    <t xml:space="preserve">  CDS Brasil 5yr (observado)</t>
  </si>
  <si>
    <t xml:space="preserve">~140bps</t>
  </si>
  <si>
    <t xml:space="preserve">RETORNO REAL ESPERADO EM USD - COMPARAÇÃO DE ATIVOS</t>
  </si>
  <si>
    <t xml:space="preserve">Todos os retornos são reais (acima da inflação), anualizados, em USD</t>
  </si>
  <si>
    <t xml:space="preserve">Classe de Ativo</t>
  </si>
  <si>
    <t xml:space="preserve">Retorno Local Real</t>
  </si>
  <si>
    <t xml:space="preserve">Depr. Cambial</t>
  </si>
  <si>
    <t xml:space="preserve">Retorno USD Real</t>
  </si>
  <si>
    <t xml:space="preserve">Volatilidade (est.)</t>
  </si>
  <si>
    <t xml:space="preserve">Sharpe (est.)</t>
  </si>
  <si>
    <t xml:space="preserve">Fonte</t>
  </si>
  <si>
    <t xml:space="preserve">NTN-B (cenário otimista)</t>
  </si>
  <si>
    <t xml:space="preserve">PPP puro</t>
  </si>
  <si>
    <t xml:space="preserve">NTN-B (cenário base)</t>
  </si>
  <si>
    <t xml:space="preserve">Consenso institucional</t>
  </si>
  <si>
    <t xml:space="preserve">NTN-B (cenário pessimista)</t>
  </si>
  <si>
    <t xml:space="preserve">Média hist. 20 anos</t>
  </si>
  <si>
    <t xml:space="preserve">IMAB11 (cenário base)</t>
  </si>
  <si>
    <t xml:space="preserve">Inclui TER 0.25%</t>
  </si>
  <si>
    <t xml:space="preserve">US TIPS 10yr</t>
  </si>
  <si>
    <t xml:space="preserve">US T-bills</t>
  </si>
  <si>
    <t xml:space="preserve">Equities DM (SWRD)</t>
  </si>
  <si>
    <t xml:space="preserve">AQR/Vanguard CMA</t>
  </si>
  <si>
    <t xml:space="preserve">Equities EM (AVEM)</t>
  </si>
  <si>
    <t xml:space="preserve">AQR/GMO CMA</t>
  </si>
  <si>
    <t xml:space="preserve">Equities DM Value/SC (AVGS)</t>
  </si>
  <si>
    <t xml:space="preserve">GMO 7yr forecast</t>
  </si>
  <si>
    <t xml:space="preserve">JPM GBI-EM adj.</t>
  </si>
  <si>
    <t xml:space="preserve">SIMULAÇÃO: R$ 100.000 LUMP SUM — VALOR FINAL EM USD (cenário base: depr. 3% a.a.)</t>
  </si>
  <si>
    <t xml:space="preserve">Aporte R$ 100k. Taxa câmbio inicial: 5.80 BRL/USD. Todos valores finais em USD.</t>
  </si>
  <si>
    <t xml:space="preserve">Aporte (BRL)</t>
  </si>
  <si>
    <t xml:space="preserve">BRL/USD inicial</t>
  </si>
  <si>
    <t xml:space="preserve">Horizonte</t>
  </si>
  <si>
    <t xml:space="preserve">NTN-B TD (USD)</t>
  </si>
  <si>
    <t xml:space="preserve">IMAB11 (USD)</t>
  </si>
  <si>
    <t xml:space="preserve">US TIPS (USD)</t>
  </si>
  <si>
    <t xml:space="preserve">SWRD (USD)</t>
  </si>
  <si>
    <t xml:space="preserve">AVGS (USD)</t>
  </si>
  <si>
    <t xml:space="preserve">NTN-B Ladder 5a (USD)</t>
  </si>
  <si>
    <t xml:space="preserve">Melhor Opção</t>
  </si>
  <si>
    <t xml:space="preserve">5 anos</t>
  </si>
  <si>
    <t xml:space="preserve">10 anos</t>
  </si>
  <si>
    <t xml:space="preserve">15 anos</t>
  </si>
  <si>
    <t xml:space="preserve">20 anos</t>
  </si>
  <si>
    <t xml:space="preserve">25 anos</t>
  </si>
  <si>
    <t xml:space="preserve">SENSIBILIDADE: NTN-B 15 ANOS — VALOR FINAL USD POR CENÁRIO DE CÂMBIO</t>
  </si>
  <si>
    <t xml:space="preserve">Depr. Cambial a.a.</t>
  </si>
  <si>
    <t xml:space="preserve">Retorno Real USD</t>
  </si>
  <si>
    <t xml:space="preserve">Valor Final USD (100k BRL)</t>
  </si>
  <si>
    <t xml:space="preserve">vs US TIPS</t>
  </si>
  <si>
    <t xml:space="preserve">vs SWRD</t>
  </si>
  <si>
    <t xml:space="preserve">vs AVGS</t>
  </si>
  <si>
    <t xml:space="preserve">1.0% (superotimista)</t>
  </si>
  <si>
    <t xml:space="preserve">2.0% (PPP)</t>
  </si>
  <si>
    <t xml:space="preserve">2.5%</t>
  </si>
  <si>
    <t xml:space="preserve">3.0% (base)</t>
  </si>
  <si>
    <t xml:space="preserve">3.5%</t>
  </si>
  <si>
    <t xml:space="preserve">4.0%</t>
  </si>
  <si>
    <t xml:space="preserve">4.5% (hist 20a)</t>
  </si>
  <si>
    <t xml:space="preserve">5.0%</t>
  </si>
  <si>
    <t xml:space="preserve">6.0%</t>
  </si>
  <si>
    <t xml:space="preserve">7.9% (hist 15a)</t>
  </si>
  <si>
    <t xml:space="preserve">DECOMPOSIÇÃO DO SPREAD: NTN-B vs US TIPS</t>
  </si>
  <si>
    <t xml:space="preserve">Componente</t>
  </si>
  <si>
    <t xml:space="preserve">Basis Points</t>
  </si>
  <si>
    <t xml:space="preserve">% do Spread</t>
  </si>
  <si>
    <t xml:space="preserve">NTN-B 6.75% - TIPS 1.90%</t>
  </si>
  <si>
    <t xml:space="preserve">Risco cambial</t>
  </si>
  <si>
    <t xml:space="preserve">BIS WP 391, 474; literatura EM FX</t>
  </si>
  <si>
    <t xml:space="preserve">Risco de crédito soberano</t>
  </si>
  <si>
    <t xml:space="preserve">CDS Brasil 5yr ~140bps</t>
  </si>
  <si>
    <t xml:space="preserve">Liquidez + term premium</t>
  </si>
  <si>
    <t xml:space="preserve">Residual; BIS WP 391</t>
  </si>
  <si>
    <t xml:space="preserve">⚠️  55% do spread é risco cambial — NTN-B é fundamentalmente uma aposta em BRL, não um investimento de renda fixa puro</t>
  </si>
  <si>
    <t xml:space="preserve">ANÁLISE: NTN-B COMO PROTEÇÃO DE SEQUÊNCIA DE RETORNO</t>
  </si>
  <si>
    <t xml:space="preserve">Critério</t>
  </si>
  <si>
    <t xml:space="preserve">NTN-B TD</t>
  </si>
  <si>
    <t xml:space="preserve">IMAB11</t>
  </si>
  <si>
    <t xml:space="preserve">US TIPS</t>
  </si>
  <si>
    <t xml:space="preserve">Tesouro Selic</t>
  </si>
  <si>
    <t xml:space="preserve">Trava taxa no momento da compra?</t>
  </si>
  <si>
    <t xml:space="preserve">✅ Sim</t>
  </si>
  <si>
    <t xml:space="preserve">❌ Não (rola)</t>
  </si>
  <si>
    <t xml:space="preserve">❌ Não (pós)</t>
  </si>
  <si>
    <t xml:space="preserve">Valor previsível no vencimento?</t>
  </si>
  <si>
    <t xml:space="preserve">❌ Volátil</t>
  </si>
  <si>
    <t xml:space="preserve">Proteção contra inflação BR?</t>
  </si>
  <si>
    <t xml:space="preserve">✅ IPCA</t>
  </si>
  <si>
    <t xml:space="preserve">❌ CPI-US</t>
  </si>
  <si>
    <t xml:space="preserve">⚠️ Parcial</t>
  </si>
  <si>
    <t xml:space="preserve">Proteção contra inflação USD?</t>
  </si>
  <si>
    <t xml:space="preserve">⚠️ Indireta</t>
  </si>
  <si>
    <t xml:space="preserve">✅ CPI-US</t>
  </si>
  <si>
    <t xml:space="preserve">❌ Não</t>
  </si>
  <si>
    <t xml:space="preserve">Risco de marcação a mercado?</t>
  </si>
  <si>
    <t xml:space="preserve">⚠️ Alto (duration)</t>
  </si>
  <si>
    <t xml:space="preserve">⚠️ Alto</t>
  </si>
  <si>
    <t xml:space="preserve">⚠️ Moderado</t>
  </si>
  <si>
    <t xml:space="preserve">✅ Baixo</t>
  </si>
  <si>
    <t xml:space="preserve">Risco cambial?</t>
  </si>
  <si>
    <t xml:space="preserve">✅ Zero (gasta BRL)</t>
  </si>
  <si>
    <t xml:space="preserve">⚠️ USD/BRL</t>
  </si>
  <si>
    <t xml:space="preserve">✅ Zero</t>
  </si>
  <si>
    <t xml:space="preserve">Liquidez imediata?</t>
  </si>
  <si>
    <t xml:space="preserve">✅ D+1</t>
  </si>
  <si>
    <t xml:space="preserve">✅ D+2</t>
  </si>
  <si>
    <t xml:space="preserve">⚠️ Mercado externo</t>
  </si>
  <si>
    <t xml:space="preserve">✅ D+0</t>
  </si>
  <si>
    <t xml:space="preserve">Evidência acadêmica p/ SoRR?</t>
  </si>
  <si>
    <t xml:space="preserve">⚠️ Limitada</t>
  </si>
  <si>
    <t xml:space="preserve">❌ Inexistente</t>
  </si>
  <si>
    <t xml:space="preserve">✅ Forte</t>
  </si>
  <si>
    <t xml:space="preserve">Retorno real esperado (BRL)?</t>
  </si>
  <si>
    <t xml:space="preserve">6.75%</t>
  </si>
  <si>
    <t xml:space="preserve">~6.50%</t>
  </si>
  <si>
    <t xml:space="preserve">~1.9%+FX</t>
  </si>
  <si>
    <t xml:space="preserve">~Selic-IPCA</t>
  </si>
  <si>
    <t xml:space="preserve">Max drawdown histórico?</t>
  </si>
  <si>
    <t xml:space="preserve">-30% a -40%</t>
  </si>
  <si>
    <t xml:space="preserve">-10% a -15%</t>
  </si>
  <si>
    <t xml:space="preserve">~0%</t>
  </si>
  <si>
    <t xml:space="preserve">CONCLUSÃO PARA SUA ESTRATÉGIA (90/10, guardrails, 10+ anos)</t>
  </si>
  <si>
    <t xml:space="preserve">Se gasta em BRL na aposentadoria → NTN-B TD com maturity-matching é a melhor opção para o colchão de 2-3 anos</t>
  </si>
  <si>
    <t xml:space="preserve">Se planeja gastar em USD/EUR (Portugal?) → US TIPS ou global bonds hedged são mais seguros</t>
  </si>
  <si>
    <t xml:space="preserve">IMAB11 não serve para SoRR: não trava taxa, tem volatilidade igual ao TD mas sem garantia no vencimento</t>
  </si>
  <si>
    <t xml:space="preserve">Tamanho sugerido: 5-10% da carteira total (2-3 anos de despesas estimadas em BRL)</t>
  </si>
  <si>
    <t xml:space="preserve">⚠️ NTN-B NÃO substitui equities como motor de acumulação — retorno USD ajustado (~3-4%) &lt; AVGS (~6.5%)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</si>
</sst>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0.00"/>
    <numFmt numFmtId="168" formatCode="#,##0"/>
    <numFmt numFmtId="169" formatCode="\$#,##0"/>
    <numFmt numFmtId="170" formatCode="\$#,##0;&quot;($&quot;#,##0\);\-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AF8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EAF8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7.2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4"/>
      <c r="C3" s="4"/>
    </row>
    <row r="4" customFormat="false" ht="15" hidden="false" customHeight="true" outlineLevel="0" collapsed="false">
      <c r="A4" s="5" t="s">
        <v>2</v>
      </c>
      <c r="B4" s="6" t="n">
        <v>0.0675</v>
      </c>
      <c r="C4" s="7" t="s">
        <v>3</v>
      </c>
    </row>
    <row r="5" customFormat="false" ht="15" hidden="false" customHeight="true" outlineLevel="0" collapsed="false">
      <c r="A5" s="5" t="s">
        <v>4</v>
      </c>
      <c r="B5" s="6" t="n">
        <v>0.045</v>
      </c>
      <c r="C5" s="7" t="s">
        <v>5</v>
      </c>
    </row>
    <row r="6" customFormat="false" ht="15" hidden="false" customHeight="true" outlineLevel="0" collapsed="false">
      <c r="A6" s="5" t="s">
        <v>6</v>
      </c>
      <c r="B6" s="8" t="n">
        <f aca="false">(1+B4)*(1+B5)-1</f>
        <v>0.1155375</v>
      </c>
    </row>
    <row r="7" customFormat="false" ht="15" hidden="false" customHeight="true" outlineLevel="0" collapsed="false">
      <c r="A7" s="5"/>
    </row>
    <row r="8" customFormat="false" ht="15" hidden="false" customHeight="true" outlineLevel="0" collapsed="false">
      <c r="A8" s="3" t="s">
        <v>7</v>
      </c>
      <c r="B8" s="4"/>
      <c r="C8" s="4"/>
    </row>
    <row r="9" customFormat="false" ht="15" hidden="false" customHeight="true" outlineLevel="0" collapsed="false">
      <c r="A9" s="5" t="s">
        <v>8</v>
      </c>
      <c r="B9" s="6" t="n">
        <v>0.02</v>
      </c>
      <c r="C9" s="7" t="s">
        <v>9</v>
      </c>
    </row>
    <row r="10" customFormat="false" ht="15" hidden="false" customHeight="true" outlineLevel="0" collapsed="false">
      <c r="A10" s="5" t="s">
        <v>10</v>
      </c>
      <c r="B10" s="6" t="n">
        <v>0.03</v>
      </c>
      <c r="C10" s="7" t="s">
        <v>11</v>
      </c>
    </row>
    <row r="11" customFormat="false" ht="15" hidden="false" customHeight="true" outlineLevel="0" collapsed="false">
      <c r="A11" s="5" t="s">
        <v>12</v>
      </c>
      <c r="B11" s="6" t="n">
        <v>0.045</v>
      </c>
      <c r="C11" s="7" t="s">
        <v>13</v>
      </c>
    </row>
    <row r="12" customFormat="false" ht="15" hidden="false" customHeight="true" outlineLevel="0" collapsed="false">
      <c r="A12" s="5"/>
    </row>
    <row r="13" customFormat="false" ht="15" hidden="false" customHeight="true" outlineLevel="0" collapsed="false">
      <c r="A13" s="3" t="s">
        <v>14</v>
      </c>
      <c r="B13" s="4"/>
      <c r="C13" s="4"/>
    </row>
    <row r="14" customFormat="false" ht="15" hidden="false" customHeight="true" outlineLevel="0" collapsed="false">
      <c r="A14" s="5" t="s">
        <v>15</v>
      </c>
      <c r="B14" s="6" t="n">
        <v>0.019</v>
      </c>
      <c r="C14" s="7" t="s">
        <v>16</v>
      </c>
    </row>
    <row r="15" customFormat="false" ht="15" hidden="false" customHeight="true" outlineLevel="0" collapsed="false">
      <c r="A15" s="5" t="s">
        <v>17</v>
      </c>
      <c r="B15" s="6" t="n">
        <v>0.012</v>
      </c>
      <c r="C15" s="7" t="s">
        <v>18</v>
      </c>
    </row>
    <row r="16" customFormat="false" ht="15" hidden="false" customHeight="true" outlineLevel="0" collapsed="false">
      <c r="A16" s="5" t="s">
        <v>19</v>
      </c>
      <c r="B16" s="6" t="n">
        <v>0.045</v>
      </c>
      <c r="C16" s="7" t="s">
        <v>20</v>
      </c>
    </row>
    <row r="17" customFormat="false" ht="15" hidden="false" customHeight="true" outlineLevel="0" collapsed="false">
      <c r="A17" s="5" t="s">
        <v>21</v>
      </c>
      <c r="B17" s="6" t="n">
        <v>0.055</v>
      </c>
      <c r="C17" s="7" t="s">
        <v>22</v>
      </c>
    </row>
    <row r="18" customFormat="false" ht="15" hidden="false" customHeight="true" outlineLevel="0" collapsed="false">
      <c r="A18" s="5" t="s">
        <v>23</v>
      </c>
      <c r="B18" s="6" t="n">
        <v>0.065</v>
      </c>
      <c r="C18" s="7" t="s">
        <v>24</v>
      </c>
    </row>
    <row r="19" customFormat="false" ht="15" hidden="false" customHeight="true" outlineLevel="0" collapsed="false">
      <c r="A19" s="5" t="s">
        <v>25</v>
      </c>
      <c r="B19" s="6" t="n">
        <v>0.035</v>
      </c>
      <c r="C19" s="7" t="s">
        <v>26</v>
      </c>
    </row>
    <row r="20" customFormat="false" ht="15" hidden="false" customHeight="true" outlineLevel="0" collapsed="false">
      <c r="A20" s="5"/>
    </row>
    <row r="21" customFormat="false" ht="15" hidden="false" customHeight="true" outlineLevel="0" collapsed="false">
      <c r="A21" s="3" t="s">
        <v>27</v>
      </c>
      <c r="B21" s="4"/>
      <c r="C21" s="4"/>
    </row>
    <row r="22" customFormat="false" ht="15" hidden="false" customHeight="true" outlineLevel="0" collapsed="false">
      <c r="A22" s="5" t="s">
        <v>28</v>
      </c>
      <c r="B22" s="6" t="n">
        <v>0.002</v>
      </c>
      <c r="C22" s="7" t="s">
        <v>29</v>
      </c>
    </row>
    <row r="23" customFormat="false" ht="15" hidden="false" customHeight="true" outlineLevel="0" collapsed="false">
      <c r="A23" s="5" t="s">
        <v>30</v>
      </c>
      <c r="B23" s="6" t="n">
        <v>0.0025</v>
      </c>
      <c r="C23" s="7" t="s">
        <v>31</v>
      </c>
    </row>
    <row r="24" customFormat="false" ht="15" hidden="false" customHeight="true" outlineLevel="0" collapsed="false">
      <c r="A24" s="5" t="s">
        <v>32</v>
      </c>
      <c r="B24" s="6" t="n">
        <v>0.15</v>
      </c>
      <c r="C24" s="7" t="s">
        <v>33</v>
      </c>
    </row>
    <row r="25" customFormat="false" ht="15" hidden="false" customHeight="true" outlineLevel="0" collapsed="false">
      <c r="A25" s="5" t="s">
        <v>34</v>
      </c>
      <c r="B25" s="6" t="n">
        <v>0.2</v>
      </c>
      <c r="C25" s="7" t="s">
        <v>35</v>
      </c>
    </row>
    <row r="26" customFormat="false" ht="15" hidden="false" customHeight="true" outlineLevel="0" collapsed="false">
      <c r="A26" s="5"/>
    </row>
    <row r="27" customFormat="false" ht="15" hidden="false" customHeight="true" outlineLevel="0" collapsed="false">
      <c r="A27" s="3" t="s">
        <v>36</v>
      </c>
      <c r="B27" s="4"/>
      <c r="C27" s="4"/>
    </row>
    <row r="28" customFormat="false" ht="15" hidden="false" customHeight="true" outlineLevel="0" collapsed="false">
      <c r="A28" s="5" t="s">
        <v>37</v>
      </c>
      <c r="B28" s="8" t="n">
        <f aca="false">B4-B14</f>
        <v>0.0485</v>
      </c>
    </row>
    <row r="29" customFormat="false" ht="15" hidden="false" customHeight="true" outlineLevel="0" collapsed="false">
      <c r="A29" s="5" t="s">
        <v>38</v>
      </c>
      <c r="B29" s="8" t="n">
        <f aca="false">B28*0.55</f>
        <v>0.026675</v>
      </c>
    </row>
    <row r="30" customFormat="false" ht="15" hidden="false" customHeight="true" outlineLevel="0" collapsed="false">
      <c r="A30" s="5" t="s">
        <v>39</v>
      </c>
      <c r="B30" s="8" t="n">
        <f aca="false">B28*0.3</f>
        <v>0.01455</v>
      </c>
    </row>
    <row r="31" customFormat="false" ht="15" hidden="false" customHeight="true" outlineLevel="0" collapsed="false">
      <c r="A31" s="5" t="s">
        <v>40</v>
      </c>
      <c r="B31" s="8" t="n">
        <f aca="false">B28*0.15</f>
        <v>0.007275</v>
      </c>
    </row>
    <row r="32" customFormat="false" ht="15" hidden="false" customHeight="true" outlineLevel="0" collapsed="false">
      <c r="A32" s="5" t="s">
        <v>41</v>
      </c>
      <c r="B32" s="6" t="n">
        <v>0.014</v>
      </c>
      <c r="C32" s="7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7" t="s">
        <v>44</v>
      </c>
    </row>
    <row r="4" customFormat="false" ht="27.75" hidden="false" customHeight="true" outlineLevel="0" collapsed="false">
      <c r="A4" s="9" t="s">
        <v>45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</row>
    <row r="5" customFormat="false" ht="15" hidden="false" customHeight="true" outlineLevel="0" collapsed="false">
      <c r="A5" s="10" t="s">
        <v>52</v>
      </c>
      <c r="B5" s="11" t="n">
        <v>0.0675</v>
      </c>
      <c r="C5" s="11" t="n">
        <v>0.02</v>
      </c>
      <c r="D5" s="12" t="n">
        <f aca="false">(1+B5)/(1+C5)-1</f>
        <v>0.0465686274509802</v>
      </c>
      <c r="E5" s="13" t="n">
        <v>0.15</v>
      </c>
      <c r="F5" s="14" t="n">
        <f aca="false">(D5-0.012)/E5</f>
        <v>0.230457516339868</v>
      </c>
      <c r="G5" s="15" t="s">
        <v>53</v>
      </c>
    </row>
    <row r="6" customFormat="false" ht="15" hidden="false" customHeight="true" outlineLevel="0" collapsed="false">
      <c r="A6" s="16" t="s">
        <v>54</v>
      </c>
      <c r="B6" s="17" t="n">
        <v>0.0675</v>
      </c>
      <c r="C6" s="17" t="n">
        <v>0.03</v>
      </c>
      <c r="D6" s="18" t="n">
        <f aca="false">(1+B6)/(1+C6)-1</f>
        <v>0.0364077669902911</v>
      </c>
      <c r="E6" s="19" t="n">
        <v>0.15</v>
      </c>
      <c r="F6" s="20" t="n">
        <f aca="false">(D6-0.012)/E6</f>
        <v>0.162718446601941</v>
      </c>
      <c r="G6" s="21" t="s">
        <v>55</v>
      </c>
    </row>
    <row r="7" customFormat="false" ht="15" hidden="false" customHeight="true" outlineLevel="0" collapsed="false">
      <c r="A7" s="22" t="s">
        <v>56</v>
      </c>
      <c r="B7" s="23" t="n">
        <v>0.0675</v>
      </c>
      <c r="C7" s="23" t="n">
        <v>0.045</v>
      </c>
      <c r="D7" s="24" t="n">
        <f aca="false">(1+B7)/(1+C7)-1</f>
        <v>0.0215311004784688</v>
      </c>
      <c r="E7" s="25" t="n">
        <v>0.15</v>
      </c>
      <c r="F7" s="26" t="n">
        <f aca="false">(D7-0.012)/E7</f>
        <v>0.063540669856459</v>
      </c>
      <c r="G7" s="27" t="s">
        <v>57</v>
      </c>
    </row>
    <row r="8" customFormat="false" ht="15" hidden="false" customHeight="true" outlineLevel="0" collapsed="false">
      <c r="A8" s="16" t="s">
        <v>58</v>
      </c>
      <c r="B8" s="17" t="n">
        <v>0.065</v>
      </c>
      <c r="C8" s="17" t="n">
        <v>0.03</v>
      </c>
      <c r="D8" s="18" t="n">
        <f aca="false">(1+B8)/(1+C8)-1</f>
        <v>0.0339805825242718</v>
      </c>
      <c r="E8" s="19" t="n">
        <v>0.18</v>
      </c>
      <c r="F8" s="20" t="n">
        <f aca="false">(D8-0.012)/E8</f>
        <v>0.122114347357066</v>
      </c>
      <c r="G8" s="21" t="s">
        <v>59</v>
      </c>
    </row>
    <row r="9" customFormat="false" ht="15" hidden="false" customHeight="true" outlineLevel="0" collapsed="false">
      <c r="A9" s="28"/>
      <c r="B9" s="28"/>
      <c r="C9" s="28"/>
      <c r="D9" s="29"/>
      <c r="E9" s="28"/>
      <c r="F9" s="28"/>
      <c r="G9" s="30"/>
    </row>
    <row r="10" customFormat="false" ht="15" hidden="false" customHeight="true" outlineLevel="0" collapsed="false">
      <c r="A10" s="28" t="s">
        <v>60</v>
      </c>
      <c r="B10" s="31" t="n">
        <v>0.019</v>
      </c>
      <c r="C10" s="31" t="n">
        <v>0</v>
      </c>
      <c r="D10" s="29" t="n">
        <v>0.019</v>
      </c>
      <c r="E10" s="32" t="n">
        <v>0.06</v>
      </c>
      <c r="F10" s="33" t="n">
        <f aca="false">(D10-0.012)/E10</f>
        <v>0.116666666666667</v>
      </c>
      <c r="G10" s="30" t="s">
        <v>16</v>
      </c>
    </row>
    <row r="11" customFormat="false" ht="15" hidden="false" customHeight="true" outlineLevel="0" collapsed="false">
      <c r="A11" s="28" t="s">
        <v>61</v>
      </c>
      <c r="B11" s="31" t="n">
        <v>0.012</v>
      </c>
      <c r="C11" s="31" t="n">
        <v>0</v>
      </c>
      <c r="D11" s="29" t="n">
        <v>0.012</v>
      </c>
      <c r="E11" s="32" t="n">
        <v>0.02</v>
      </c>
      <c r="F11" s="28"/>
      <c r="G11" s="30" t="s">
        <v>18</v>
      </c>
    </row>
    <row r="12" customFormat="false" ht="15" hidden="false" customHeight="true" outlineLevel="0" collapsed="false">
      <c r="A12" s="28" t="s">
        <v>62</v>
      </c>
      <c r="B12" s="31" t="n">
        <v>0.045</v>
      </c>
      <c r="C12" s="31" t="n">
        <v>0</v>
      </c>
      <c r="D12" s="29" t="n">
        <v>0.045</v>
      </c>
      <c r="E12" s="32" t="n">
        <v>0.16</v>
      </c>
      <c r="F12" s="33" t="n">
        <f aca="false">(D12-0.012)/E12</f>
        <v>0.20625</v>
      </c>
      <c r="G12" s="30" t="s">
        <v>63</v>
      </c>
    </row>
    <row r="13" customFormat="false" ht="15" hidden="false" customHeight="true" outlineLevel="0" collapsed="false">
      <c r="A13" s="28" t="s">
        <v>64</v>
      </c>
      <c r="B13" s="31" t="n">
        <v>0.055</v>
      </c>
      <c r="C13" s="31" t="n">
        <v>0</v>
      </c>
      <c r="D13" s="29" t="n">
        <v>0.055</v>
      </c>
      <c r="E13" s="32" t="n">
        <v>0.22</v>
      </c>
      <c r="F13" s="33" t="n">
        <f aca="false">(D13-0.012)/E13</f>
        <v>0.195454545454545</v>
      </c>
      <c r="G13" s="30" t="s">
        <v>65</v>
      </c>
    </row>
    <row r="14" customFormat="false" ht="15" hidden="false" customHeight="true" outlineLevel="0" collapsed="false">
      <c r="A14" s="28" t="s">
        <v>66</v>
      </c>
      <c r="B14" s="31" t="n">
        <v>0.065</v>
      </c>
      <c r="C14" s="31" t="n">
        <v>0</v>
      </c>
      <c r="D14" s="29" t="n">
        <v>0.065</v>
      </c>
      <c r="E14" s="32" t="n">
        <v>0.18</v>
      </c>
      <c r="F14" s="33" t="n">
        <f aca="false">(D14-0.012)/E14</f>
        <v>0.294444444444445</v>
      </c>
      <c r="G14" s="30" t="s">
        <v>67</v>
      </c>
    </row>
    <row r="15" customFormat="false" ht="15" hidden="false" customHeight="true" outlineLevel="0" collapsed="false">
      <c r="A15" s="28" t="s">
        <v>25</v>
      </c>
      <c r="B15" s="31" t="n">
        <v>0.035</v>
      </c>
      <c r="C15" s="31" t="n">
        <v>0</v>
      </c>
      <c r="D15" s="29" t="n">
        <v>0.035</v>
      </c>
      <c r="E15" s="32" t="n">
        <v>0.12</v>
      </c>
      <c r="F15" s="33" t="n">
        <f aca="false">(D15-0.012)/E15</f>
        <v>0.191666666666667</v>
      </c>
      <c r="G15" s="30" t="s">
        <v>68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8"/>
  </cols>
  <sheetData>
    <row r="1" customFormat="false" ht="17.2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7" t="s">
        <v>70</v>
      </c>
    </row>
    <row r="3" customFormat="false" ht="15" hidden="false" customHeight="true" outlineLevel="0" collapsed="false">
      <c r="A3" s="1" t="s">
        <v>71</v>
      </c>
      <c r="B3" s="34" t="n">
        <v>100000</v>
      </c>
      <c r="C3" s="35" t="n">
        <v>5.8</v>
      </c>
      <c r="D3" s="1" t="s">
        <v>72</v>
      </c>
    </row>
    <row r="5" customFormat="false" ht="27.75" hidden="false" customHeight="true" outlineLevel="0" collapsed="false">
      <c r="A5" s="9" t="s">
        <v>73</v>
      </c>
      <c r="B5" s="9" t="s">
        <v>74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</row>
    <row r="6" customFormat="false" ht="15" hidden="false" customHeight="true" outlineLevel="0" collapsed="false">
      <c r="A6" s="36" t="s">
        <v>81</v>
      </c>
      <c r="B6" s="37" t="n">
        <f aca="false">($B$3*(1+0.1057)^5-($B$3*(1+0.1057)^5-$B$3)*0.15)/($C$3*(1+0.03)^5)</f>
        <v>23123.4302841758</v>
      </c>
      <c r="C6" s="37" t="n">
        <f aca="false">($B$3*(1+0.1052)^5-($B$3*(1+0.1052)^5-$B$3)*0.15)/($C$3*(1+0.03)^5)</f>
        <v>23076.2347095886</v>
      </c>
      <c r="D6" s="37" t="n">
        <f aca="false">(100000*(1+0.019)^5*(1+0.03)^5-(100000*(1+0.019)^5*(1+0.03)^5-100000)*0.15)/(5.8*(1+0.03)^5)</f>
        <v>18332.2185366648</v>
      </c>
      <c r="E6" s="37" t="n">
        <f aca="false">(100000*(1+0.045)^5*(1+0.03)^5-(100000*(1+0.045)^5*(1+0.03)^5-100000)*0.15)/(5.8*(1+0.03)^5)</f>
        <v>20493.8959424617</v>
      </c>
      <c r="F6" s="37" t="n">
        <f aca="false">(100000*(1+0.065)^5*(1+0.03)^5-(100000*(1+0.065)^5*(1+0.03)^5-100000)*0.15)/(5.8*(1+0.03)^5)</f>
        <v>22309.7410613949</v>
      </c>
      <c r="G6" s="37" t="n">
        <f aca="false">($B$3*((1+0.1057)^5 - ((1+0.1057)^5-1)*0.15)^1)/($C$3*(1+0.03)^5)</f>
        <v>23123.4302841758</v>
      </c>
      <c r="H6" s="38" t="str">
        <f aca="false">IF(F6=MAX(B6:G6),"AVGS",IF(E6=MAX(B6:G6),"SWRD",IF(B6=MAX(B6:G6),"NTN-B TD",IF(C6=MAX(B6:G6),"IMAB11",IF(D6=MAX(B6:G6),"US TIPS","Ladder")))))</f>
        <v>NTN-B TD</v>
      </c>
    </row>
    <row r="7" customFormat="false" ht="15" hidden="false" customHeight="true" outlineLevel="0" collapsed="false">
      <c r="A7" s="36" t="s">
        <v>82</v>
      </c>
      <c r="B7" s="37" t="n">
        <f aca="false">($B$3*(1+0.1057)^10-($B$3*(1+0.1057)^10-$B$3)*0.15)/($C$3*(1+0.03)^10)</f>
        <v>31708.9814330995</v>
      </c>
      <c r="C7" s="37" t="n">
        <f aca="false">($B$3*(1+0.1052)^10-($B$3*(1+0.1052)^10-$B$3)*0.15)/($C$3*(1+0.03)^10)</f>
        <v>31574.5685513702</v>
      </c>
      <c r="D7" s="37" t="n">
        <f aca="false">(100000*(1+0.019)^10*(1+0.03)^10-(100000*(1+0.019)^10*(1+0.03)^10-100000)*0.15)/(5.8*(1+0.03)^10)</f>
        <v>19614.5820069471</v>
      </c>
      <c r="E7" s="37" t="n">
        <f aca="false">(100000*(1+0.045)^10*(1+0.03)^10-(100000*(1+0.045)^10*(1+0.03)^10-100000)*0.15)/(5.8*(1+0.03)^10)</f>
        <v>24683.4154432323</v>
      </c>
      <c r="F7" s="37" t="n">
        <f aca="false">(100000*(1+0.065)^10*(1+0.03)^10-(100000*(1+0.065)^10*(1+0.03)^10-100000)*0.15)/(5.8*(1+0.03)^10)</f>
        <v>29434.1540123011</v>
      </c>
      <c r="G7" s="37" t="n">
        <f aca="false">($B$3*((1+0.1057)^5 - ((1+0.1057)^5-1)*0.15)^2)/($C$3*(1+0.03)^10)</f>
        <v>31012.1956302139</v>
      </c>
      <c r="H7" s="38" t="str">
        <f aca="false">IF(F7=MAX(B7:G7),"AVGS",IF(E7=MAX(B7:G7),"SWRD",IF(B7=MAX(B7:G7),"NTN-B TD",IF(C7=MAX(B7:G7),"IMAB11",IF(D7=MAX(B7:G7),"US TIPS","Ladder")))))</f>
        <v>NTN-B TD</v>
      </c>
    </row>
    <row r="8" customFormat="false" ht="15" hidden="false" customHeight="true" outlineLevel="0" collapsed="false">
      <c r="A8" s="36" t="s">
        <v>83</v>
      </c>
      <c r="B8" s="37" t="n">
        <f aca="false">($B$3*(1+0.1057)^15-($B$3*(1+0.1057)^15-$B$3)*0.15)/($C$3*(1+0.03)^15)</f>
        <v>44121.182106837</v>
      </c>
      <c r="C8" s="37" t="n">
        <f aca="false">($B$3*(1+0.1052)^15-($B$3*(1+0.1052)^15-$B$3)*0.15)/($C$3*(1+0.03)^15)</f>
        <v>43834.0763140854</v>
      </c>
      <c r="D8" s="37" t="n">
        <f aca="false">(100000*(1+0.019)^15*(1+0.03)^15-(100000*(1+0.019)^15*(1+0.03)^15-100000)*0.15)/(5.8*(1+0.03)^15)</f>
        <v>21095.8446688748</v>
      </c>
      <c r="E8" s="37" t="n">
        <f aca="false">(100000*(1+0.045)^15*(1+0.03)^15-(100000*(1+0.045)^15*(1+0.03)^15-100000)*0.15)/(5.8*(1+0.03)^15)</f>
        <v>30021.8856678791</v>
      </c>
      <c r="F8" s="37" t="n">
        <f aca="false">(100000*(1+0.065)^15*(1+0.03)^15-(100000*(1+0.065)^15*(1+0.03)^15-100000)*0.15)/(5.8*(1+0.03)^15)</f>
        <v>39350.7611670407</v>
      </c>
      <c r="G8" s="37" t="n">
        <f aca="false">($B$3*((1+0.1057)^5 - ((1+0.1057)^5-1)*0.15)^3)/($C$3*(1+0.03)^15)</f>
        <v>41592.2839296393</v>
      </c>
      <c r="H8" s="38" t="str">
        <f aca="false">IF(F8=MAX(B8:G8),"AVGS",IF(E8=MAX(B8:G8),"SWRD",IF(B8=MAX(B8:G8),"NTN-B TD",IF(C8=MAX(B8:G8),"IMAB11",IF(D8=MAX(B8:G8),"US TIPS","Ladder")))))</f>
        <v>NTN-B TD</v>
      </c>
    </row>
    <row r="9" customFormat="false" ht="15" hidden="false" customHeight="true" outlineLevel="0" collapsed="false">
      <c r="A9" s="36" t="s">
        <v>84</v>
      </c>
      <c r="B9" s="37" t="n">
        <f aca="false">($B$3*(1+0.1057)^20-($B$3*(1+0.1057)^20-$B$3)*0.15)/($C$3*(1+0.03)^20)</f>
        <v>61964.9802573846</v>
      </c>
      <c r="C9" s="37" t="n">
        <f aca="false">($B$3*(1+0.1052)^20-($B$3*(1+0.1052)^20-$B$3)*0.15)/($C$3*(1+0.03)^20)</f>
        <v>61419.8620593659</v>
      </c>
      <c r="D9" s="37" t="n">
        <f aca="false">(100000*(1+0.019)^20*(1+0.03)^20-(100000*(1+0.019)^20*(1+0.03)^20-100000)*0.15)/(5.8*(1+0.03)^20)</f>
        <v>22785.6925921967</v>
      </c>
      <c r="E9" s="37" t="n">
        <f aca="false">(100000*(1+0.045)^20*(1+0.03)^20-(100000*(1+0.045)^20*(1+0.03)^20-100000)*0.15)/(5.8*(1+0.03)^20)</f>
        <v>36776.0049006853</v>
      </c>
      <c r="F9" s="37" t="n">
        <f aca="false">(100000*(1+0.065)^20*(1+0.03)^20-(100000*(1+0.065)^20*(1+0.03)^20-100000)*0.15)/(5.8*(1+0.03)^20)</f>
        <v>53071.5459847956</v>
      </c>
      <c r="G9" s="37" t="n">
        <f aca="false">($B$3*((1+0.1057)^5 - ((1+0.1057)^5-1)*0.15)^4)/($C$3*(1+0.03)^20)</f>
        <v>55781.8641127862</v>
      </c>
      <c r="H9" s="38" t="str">
        <f aca="false">IF(F9=MAX(B9:G9),"AVGS",IF(E9=MAX(B9:G9),"SWRD",IF(B9=MAX(B9:G9),"NTN-B TD",IF(C9=MAX(B9:G9),"IMAB11",IF(D9=MAX(B9:G9),"US TIPS","Ladder")))))</f>
        <v>NTN-B TD</v>
      </c>
    </row>
    <row r="10" customFormat="false" ht="15" hidden="false" customHeight="true" outlineLevel="0" collapsed="false">
      <c r="A10" s="36" t="s">
        <v>85</v>
      </c>
      <c r="B10" s="37" t="n">
        <f aca="false">($B$3*(1+0.1057)^25-($B$3*(1+0.1057)^25-$B$3)*0.15)/($C$3*(1+0.03)^25)</f>
        <v>87531.6614447801</v>
      </c>
      <c r="C10" s="37" t="n">
        <f aca="false">($B$3*(1+0.1052)^25-($B$3*(1+0.1052)^25-$B$3)*0.15)/($C$3*(1+0.03)^25)</f>
        <v>86561.3506396202</v>
      </c>
      <c r="D10" s="37" t="n">
        <f aca="false">(100000*(1+0.019)^25*(1+0.03)^25-(100000*(1+0.019)^25*(1+0.03)^25-100000)*0.15)/(5.8*(1+0.03)^25)</f>
        <v>24696.1334876784</v>
      </c>
      <c r="E10" s="37" t="n">
        <f aca="false">(100000*(1+0.045)^25*(1+0.03)^25-(100000*(1+0.045)^25*(1+0.03)^25-100000)*0.15)/(5.8*(1+0.03)^25)</f>
        <v>45280.3469559617</v>
      </c>
      <c r="F10" s="37" t="n">
        <f aca="false">(100000*(1+0.065)^25*(1+0.03)^25-(100000*(1+0.065)^25*(1+0.03)^25-100000)*0.15)/(5.8*(1+0.03)^25)</f>
        <v>71985.9496087064</v>
      </c>
      <c r="G10" s="37" t="n">
        <f aca="false">($B$3*((1+0.1057)^5 - ((1+0.1057)^5-1)*0.15)^5)/($C$3*(1+0.03)^25)</f>
        <v>74812.3466641359</v>
      </c>
      <c r="H10" s="38" t="str">
        <f aca="false">IF(F10=MAX(B10:G10),"AVGS",IF(E10=MAX(B10:G10),"SWRD",IF(B10=MAX(B10:G10),"NTN-B TD",IF(C10=MAX(B10:G10),"IMAB11",IF(D10=MAX(B10:G10),"US TIPS","Ladder")))))</f>
        <v>NTN-B TD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22"/>
  </cols>
  <sheetData>
    <row r="1" customFormat="false" ht="17.25" hidden="false" customHeight="true" outlineLevel="0" collapsed="false">
      <c r="A1" s="2" t="s">
        <v>86</v>
      </c>
      <c r="B1" s="2"/>
      <c r="C1" s="2"/>
      <c r="D1" s="2"/>
      <c r="E1" s="2"/>
      <c r="F1" s="2"/>
    </row>
    <row r="3" customFormat="false" ht="27.75" hidden="false" customHeight="true" outlineLevel="0" collapsed="false">
      <c r="A3" s="9" t="s">
        <v>87</v>
      </c>
      <c r="B3" s="9" t="s">
        <v>88</v>
      </c>
      <c r="C3" s="9" t="s">
        <v>89</v>
      </c>
      <c r="D3" s="9" t="s">
        <v>90</v>
      </c>
      <c r="E3" s="9" t="s">
        <v>91</v>
      </c>
      <c r="F3" s="9" t="s">
        <v>92</v>
      </c>
    </row>
    <row r="4" customFormat="false" ht="15" hidden="false" customHeight="true" outlineLevel="0" collapsed="false">
      <c r="A4" s="10" t="s">
        <v>93</v>
      </c>
      <c r="B4" s="11" t="n">
        <f aca="false">(1+0.0675)/(1+0.01)-1</f>
        <v>0.0569306930693068</v>
      </c>
      <c r="C4" s="39" t="n">
        <f aca="false">(100000*(1+0.1057)^15-(100000*(1+0.1057)^15-100000)*0.15)/(5.8*(1+0.01)^15)</f>
        <v>59208.6151713279</v>
      </c>
      <c r="D4" s="40" t="n">
        <f aca="false">C4-((100000*(1+0.019)^15*(1+0.01)^15-(100000*(1+0.019)^15*(1+0.01)^15-100000)*0.15)/(5.8*(1+0.01)^15))</f>
        <v>37545.1303453023</v>
      </c>
      <c r="E4" s="40" t="n">
        <f aca="false">C4-((100000*(1+0.045)^15*(1+0.01)^15-(100000*(1+0.045)^15*(1+0.01)^15-100000)*0.15)/(5.8*(1+0.01)^15))</f>
        <v>28619.0893462979</v>
      </c>
      <c r="F4" s="40" t="n">
        <f aca="false">C4-((100000*(1+0.065)^15*(1+0.01)^15-(100000*(1+0.065)^15*(1+0.01)^15-100000)*0.15)/(5.8*(1+0.01)^15))</f>
        <v>19290.2138471363</v>
      </c>
    </row>
    <row r="5" customFormat="false" ht="15" hidden="false" customHeight="true" outlineLevel="0" collapsed="false">
      <c r="A5" s="10" t="s">
        <v>94</v>
      </c>
      <c r="B5" s="11" t="n">
        <f aca="false">(1+0.0675)/(1+0.02)-1</f>
        <v>0.0465686274509802</v>
      </c>
      <c r="C5" s="39" t="n">
        <f aca="false">(100000*(1+0.1057)^15-(100000*(1+0.1057)^15-100000)*0.15)/(5.8*(1+0.02)^15)</f>
        <v>51074.3600595841</v>
      </c>
      <c r="D5" s="40" t="n">
        <f aca="false">C5-((100000*(1+0.019)^15*(1+0.02)^15-(100000*(1+0.019)^15*(1+0.02)^15-100000)*0.15)/(5.8*(1+0.02)^15))</f>
        <v>29716.913366765</v>
      </c>
      <c r="E5" s="40" t="n">
        <f aca="false">C5-((100000*(1+0.045)^15*(1+0.02)^15-(100000*(1+0.045)^15*(1+0.02)^15-100000)*0.15)/(5.8*(1+0.02)^15))</f>
        <v>20790.8723677607</v>
      </c>
      <c r="F5" s="40" t="n">
        <f aca="false">C5-((100000*(1+0.065)^15*(1+0.02)^15-(100000*(1+0.065)^15*(1+0.02)^15-100000)*0.15)/(5.8*(1+0.02)^15))</f>
        <v>11461.9968685991</v>
      </c>
    </row>
    <row r="6" customFormat="false" ht="15" hidden="false" customHeight="true" outlineLevel="0" collapsed="false">
      <c r="A6" s="28" t="s">
        <v>95</v>
      </c>
      <c r="B6" s="31" t="n">
        <f aca="false">(1+0.0675)/(1+0.025)-1</f>
        <v>0.0414634146341464</v>
      </c>
      <c r="C6" s="37" t="n">
        <f aca="false">(100000*(1+0.1057)^15-(100000*(1+0.1057)^15-100000)*0.15)/(5.8*(1+0.025)^15)</f>
        <v>47462.1633130753</v>
      </c>
      <c r="D6" s="41" t="n">
        <f aca="false">C6-((100000*(1+0.019)^15*(1+0.025)^15-(100000*(1+0.019)^15*(1+0.025)^15-100000)*0.15)/(5.8*(1+0.025)^15))</f>
        <v>26240.6196542636</v>
      </c>
      <c r="E6" s="41" t="n">
        <f aca="false">C6-((100000*(1+0.045)^15*(1+0.025)^15-(100000*(1+0.045)^15*(1+0.025)^15-100000)*0.15)/(5.8*(1+0.025)^15))</f>
        <v>17314.5786552593</v>
      </c>
      <c r="F6" s="41" t="n">
        <f aca="false">C6-((100000*(1+0.065)^15*(1+0.025)^15-(100000*(1+0.065)^15*(1+0.025)^15-100000)*0.15)/(5.8*(1+0.025)^15))</f>
        <v>7985.70315609765</v>
      </c>
    </row>
    <row r="7" customFormat="false" ht="15" hidden="false" customHeight="true" outlineLevel="0" collapsed="false">
      <c r="A7" s="16" t="s">
        <v>96</v>
      </c>
      <c r="B7" s="17" t="n">
        <f aca="false">(1+0.0675)/(1+0.03)-1</f>
        <v>0.0364077669902911</v>
      </c>
      <c r="C7" s="42" t="n">
        <f aca="false">(100000*(1+0.1057)^15-(100000*(1+0.1057)^15-100000)*0.15)/(5.8*(1+0.03)^15)</f>
        <v>44121.182106837</v>
      </c>
      <c r="D7" s="43" t="n">
        <f aca="false">C7-((100000*(1+0.019)^15*(1+0.03)^15-(100000*(1+0.019)^15*(1+0.03)^15-100000)*0.15)/(5.8*(1+0.03)^15))</f>
        <v>23025.3374379623</v>
      </c>
      <c r="E7" s="43" t="n">
        <f aca="false">C7-((100000*(1+0.045)^15*(1+0.03)^15-(100000*(1+0.045)^15*(1+0.03)^15-100000)*0.15)/(5.8*(1+0.03)^15))</f>
        <v>14099.2964389579</v>
      </c>
      <c r="F7" s="43" t="n">
        <f aca="false">C7-((100000*(1+0.065)^15*(1+0.03)^15-(100000*(1+0.065)^15*(1+0.03)^15-100000)*0.15)/(5.8*(1+0.03)^15))</f>
        <v>4770.4209397963</v>
      </c>
    </row>
    <row r="8" customFormat="false" ht="15" hidden="false" customHeight="true" outlineLevel="0" collapsed="false">
      <c r="A8" s="28" t="s">
        <v>97</v>
      </c>
      <c r="B8" s="31" t="n">
        <f aca="false">(1+0.0675)/(1+0.035)-1</f>
        <v>0.0314009661835748</v>
      </c>
      <c r="C8" s="37" t="n">
        <f aca="false">(100000*(1+0.1057)^15-(100000*(1+0.1057)^15-100000)*0.15)/(5.8*(1+0.035)^15)</f>
        <v>41029.8815641276</v>
      </c>
      <c r="D8" s="41" t="n">
        <f aca="false">C8-((100000*(1+0.019)^15*(1+0.035)^15-(100000*(1+0.019)^15*(1+0.035)^15-100000)*0.15)/(5.8*(1+0.035)^15))</f>
        <v>20050.3420558699</v>
      </c>
      <c r="E8" s="41" t="n">
        <f aca="false">C8-((100000*(1+0.045)^15*(1+0.035)^15-(100000*(1+0.045)^15*(1+0.035)^15-100000)*0.15)/(5.8*(1+0.035)^15))</f>
        <v>11124.3010568655</v>
      </c>
      <c r="F8" s="41" t="n">
        <f aca="false">C8-((100000*(1+0.065)^15*(1+0.035)^15-(100000*(1+0.065)^15*(1+0.035)^15-100000)*0.15)/(5.8*(1+0.035)^15))</f>
        <v>1795.4255577039</v>
      </c>
    </row>
    <row r="9" customFormat="false" ht="15" hidden="false" customHeight="true" outlineLevel="0" collapsed="false">
      <c r="A9" s="28" t="s">
        <v>98</v>
      </c>
      <c r="B9" s="31" t="n">
        <f aca="false">(1+0.0675)/(1+0.04)-1</f>
        <v>0.0264423076923075</v>
      </c>
      <c r="C9" s="37" t="n">
        <f aca="false">(100000*(1+0.1057)^15-(100000*(1+0.1057)^15-100000)*0.15)/(5.8*(1+0.04)^15)</f>
        <v>38168.5288262346</v>
      </c>
      <c r="D9" s="41" t="n">
        <f aca="false">C9-((100000*(1+0.019)^15*(1+0.04)^15-(100000*(1+0.019)^15*(1+0.04)^15-100000)*0.15)/(5.8*(1+0.04)^15))</f>
        <v>17296.6430660239</v>
      </c>
      <c r="E9" s="41" t="n">
        <f aca="false">C9-((100000*(1+0.045)^15*(1+0.04)^15-(100000*(1+0.045)^15*(1+0.04)^15-100000)*0.15)/(5.8*(1+0.04)^15))</f>
        <v>8370.60206701962</v>
      </c>
      <c r="F9" s="41" t="n">
        <f aca="false">C9-((100000*(1+0.065)^15*(1+0.04)^15-(100000*(1+0.065)^15*(1+0.04)^15-100000)*0.15)/(5.8*(1+0.04)^15))</f>
        <v>-958.273432142029</v>
      </c>
    </row>
    <row r="10" customFormat="false" ht="15" hidden="false" customHeight="true" outlineLevel="0" collapsed="false">
      <c r="A10" s="22" t="s">
        <v>99</v>
      </c>
      <c r="B10" s="23" t="n">
        <f aca="false">(1+0.0675)/(1+0.045)-1</f>
        <v>0.0215311004784688</v>
      </c>
      <c r="C10" s="44" t="n">
        <f aca="false">(100000*(1+0.1057)^15-(100000*(1+0.1057)^15-100000)*0.15)/(5.8*(1+0.045)^15)</f>
        <v>35519.0346245099</v>
      </c>
      <c r="D10" s="45" t="n">
        <f aca="false">C10-((100000*(1+0.019)^15*(1+0.045)^15-(100000*(1+0.019)^15*(1+0.045)^15-100000)*0.15)/(5.8*(1+0.045)^15))</f>
        <v>14746.8317791204</v>
      </c>
      <c r="E10" s="45" t="n">
        <f aca="false">C10-((100000*(1+0.045)^15*(1+0.045)^15-(100000*(1+0.045)^15*(1+0.045)^15-100000)*0.15)/(5.8*(1+0.045)^15))</f>
        <v>5820.79078011603</v>
      </c>
      <c r="F10" s="45" t="n">
        <f aca="false">C10-((100000*(1+0.065)^15*(1+0.045)^15-(100000*(1+0.065)^15*(1+0.045)^15-100000)*0.15)/(5.8*(1+0.045)^15))</f>
        <v>-3508.08471904561</v>
      </c>
    </row>
    <row r="11" customFormat="false" ht="15" hidden="false" customHeight="true" outlineLevel="0" collapsed="false">
      <c r="A11" s="22" t="s">
        <v>100</v>
      </c>
      <c r="B11" s="23" t="n">
        <f aca="false">(1+0.0675)/(1+0.05)-1</f>
        <v>0.0166666666666666</v>
      </c>
      <c r="C11" s="44" t="n">
        <f aca="false">(100000*(1+0.1057)^15-(100000*(1+0.1057)^15-100000)*0.15)/(5.8*(1+0.05)^15)</f>
        <v>33064.8094460982</v>
      </c>
      <c r="D11" s="45" t="n">
        <f aca="false">C11-((100000*(1+0.019)^15*(1+0.05)^15-(100000*(1+0.019)^15*(1+0.05)^15-100000)*0.15)/(5.8*(1+0.05)^15))</f>
        <v>12384.9428357728</v>
      </c>
      <c r="E11" s="45" t="n">
        <f aca="false">C11-((100000*(1+0.045)^15*(1+0.05)^15-(100000*(1+0.045)^15*(1+0.05)^15-100000)*0.15)/(5.8*(1+0.05)^15))</f>
        <v>3458.90183676847</v>
      </c>
      <c r="F11" s="45" t="n">
        <f aca="false">C11-((100000*(1+0.065)^15*(1+0.05)^15-(100000*(1+0.065)^15*(1+0.05)^15-100000)*0.15)/(5.8*(1+0.05)^15))</f>
        <v>-5869.97366239318</v>
      </c>
    </row>
    <row r="12" customFormat="false" ht="15" hidden="false" customHeight="true" outlineLevel="0" collapsed="false">
      <c r="A12" s="22" t="s">
        <v>101</v>
      </c>
      <c r="B12" s="23" t="n">
        <f aca="false">(1+0.0675)/(1+0.06)-1</f>
        <v>0.00707547169811296</v>
      </c>
      <c r="C12" s="44" t="n">
        <f aca="false">(100000*(1+0.1057)^15-(100000*(1+0.1057)^15-100000)*0.15)/(5.8*(1+0.06)^15)</f>
        <v>28682.5349379285</v>
      </c>
      <c r="D12" s="45" t="n">
        <f aca="false">C12-((100000*(1+0.019)^15*(1+0.06)^15-(100000*(1+0.019)^15*(1+0.06)^15-100000)*0.15)/(5.8*(1+0.06)^15))</f>
        <v>8167.54428628095</v>
      </c>
      <c r="E12" s="45" t="n">
        <f aca="false">C12-((100000*(1+0.045)^15*(1+0.06)^15-(100000*(1+0.045)^15*(1+0.06)^15-100000)*0.15)/(5.8*(1+0.06)^15))</f>
        <v>-758.496712723376</v>
      </c>
      <c r="F12" s="45" t="n">
        <f aca="false">C12-((100000*(1+0.065)^15*(1+0.06)^15-(100000*(1+0.065)^15*(1+0.06)^15-100000)*0.15)/(5.8*(1+0.06)^15))</f>
        <v>-10087.372211885</v>
      </c>
    </row>
    <row r="13" customFormat="false" ht="15" hidden="false" customHeight="true" outlineLevel="0" collapsed="false">
      <c r="A13" s="22" t="s">
        <v>102</v>
      </c>
      <c r="B13" s="23" t="n">
        <f aca="false">(1+0.0675)/(1+0.079)-1</f>
        <v>-0.0106580166821131</v>
      </c>
      <c r="C13" s="44" t="n">
        <f aca="false">(100000*(1+0.1057)^15-(100000*(1+0.1057)^15-100000)*0.15)/(5.8*(1+0.079)^15)</f>
        <v>21972.7209356001</v>
      </c>
      <c r="D13" s="45" t="n">
        <f aca="false">C13-((100000*(1+0.019)^15*(1+0.079)^15-(100000*(1+0.019)^15*(1+0.079)^15-100000)*0.15)/(5.8*(1+0.079)^15))</f>
        <v>1710.17613464522</v>
      </c>
      <c r="E13" s="45" t="n">
        <f aca="false">C13-((100000*(1+0.045)^15*(1+0.079)^15-(100000*(1+0.045)^15*(1+0.079)^15-100000)*0.15)/(5.8*(1+0.079)^15))</f>
        <v>-7215.8648643591</v>
      </c>
      <c r="F13" s="45" t="n">
        <f aca="false">C13-((100000*(1+0.065)^15*(1+0.079)^15-(100000*(1+0.065)^15*(1+0.079)^15-100000)*0.15)/(5.8*(1+0.079)^15))</f>
        <v>-16544.7403635208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103</v>
      </c>
      <c r="B1" s="2"/>
      <c r="C1" s="2"/>
      <c r="D1" s="2"/>
    </row>
    <row r="3" customFormat="false" ht="15" hidden="false" customHeight="true" outlineLevel="0" collapsed="false">
      <c r="A3" s="46" t="s">
        <v>104</v>
      </c>
      <c r="B3" s="46" t="s">
        <v>105</v>
      </c>
      <c r="C3" s="46" t="s">
        <v>106</v>
      </c>
      <c r="D3" s="46" t="s">
        <v>51</v>
      </c>
    </row>
    <row r="4" customFormat="false" ht="15" hidden="false" customHeight="true" outlineLevel="0" collapsed="false">
      <c r="A4" s="36" t="s">
        <v>37</v>
      </c>
      <c r="B4" s="47" t="n">
        <v>485</v>
      </c>
      <c r="C4" s="48" t="n">
        <v>1</v>
      </c>
      <c r="D4" s="30" t="s">
        <v>107</v>
      </c>
    </row>
    <row r="5" customFormat="false" ht="15" hidden="false" customHeight="true" outlineLevel="0" collapsed="false">
      <c r="A5" s="28" t="s">
        <v>108</v>
      </c>
      <c r="B5" s="47" t="n">
        <v>267</v>
      </c>
      <c r="C5" s="48" t="n">
        <v>0.55</v>
      </c>
      <c r="D5" s="30" t="s">
        <v>109</v>
      </c>
    </row>
    <row r="6" customFormat="false" ht="15" hidden="false" customHeight="true" outlineLevel="0" collapsed="false">
      <c r="A6" s="28" t="s">
        <v>110</v>
      </c>
      <c r="B6" s="47" t="n">
        <v>146</v>
      </c>
      <c r="C6" s="48" t="n">
        <v>0.3</v>
      </c>
      <c r="D6" s="30" t="s">
        <v>111</v>
      </c>
    </row>
    <row r="7" customFormat="false" ht="15" hidden="false" customHeight="true" outlineLevel="0" collapsed="false">
      <c r="A7" s="28" t="s">
        <v>112</v>
      </c>
      <c r="B7" s="47" t="n">
        <v>72</v>
      </c>
      <c r="C7" s="48" t="n">
        <v>0.15</v>
      </c>
      <c r="D7" s="30" t="s">
        <v>113</v>
      </c>
    </row>
    <row r="9" customFormat="false" ht="15" hidden="false" customHeight="true" outlineLevel="0" collapsed="false">
      <c r="A9" s="49" t="s">
        <v>114</v>
      </c>
      <c r="B9" s="49"/>
      <c r="C9" s="49"/>
      <c r="D9" s="49"/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20"/>
  </cols>
  <sheetData>
    <row r="1" customFormat="false" ht="17.25" hidden="false" customHeight="true" outlineLevel="0" collapsed="false">
      <c r="A1" s="2" t="s">
        <v>115</v>
      </c>
      <c r="B1" s="2"/>
      <c r="C1" s="2"/>
      <c r="D1" s="2"/>
      <c r="E1" s="2"/>
    </row>
    <row r="3" customFormat="false" ht="15" hidden="false" customHeight="true" outlineLevel="0" collapsed="false">
      <c r="A3" s="9" t="s">
        <v>116</v>
      </c>
      <c r="B3" s="9" t="s">
        <v>117</v>
      </c>
      <c r="C3" s="9" t="s">
        <v>118</v>
      </c>
      <c r="D3" s="9" t="s">
        <v>119</v>
      </c>
      <c r="E3" s="9" t="s">
        <v>120</v>
      </c>
    </row>
    <row r="4" customFormat="false" ht="15" hidden="false" customHeight="true" outlineLevel="0" collapsed="false">
      <c r="A4" s="50" t="s">
        <v>121</v>
      </c>
      <c r="B4" s="51" t="s">
        <v>122</v>
      </c>
      <c r="C4" s="51" t="s">
        <v>123</v>
      </c>
      <c r="D4" s="51" t="s">
        <v>122</v>
      </c>
      <c r="E4" s="51" t="s">
        <v>124</v>
      </c>
    </row>
    <row r="5" customFormat="false" ht="15" hidden="false" customHeight="true" outlineLevel="0" collapsed="false">
      <c r="A5" s="50" t="s">
        <v>125</v>
      </c>
      <c r="B5" s="51" t="s">
        <v>122</v>
      </c>
      <c r="C5" s="51" t="s">
        <v>126</v>
      </c>
      <c r="D5" s="51" t="s">
        <v>122</v>
      </c>
      <c r="E5" s="51" t="s">
        <v>122</v>
      </c>
    </row>
    <row r="6" customFormat="false" ht="15" hidden="false" customHeight="true" outlineLevel="0" collapsed="false">
      <c r="A6" s="50" t="s">
        <v>127</v>
      </c>
      <c r="B6" s="51" t="s">
        <v>128</v>
      </c>
      <c r="C6" s="51" t="s">
        <v>128</v>
      </c>
      <c r="D6" s="51" t="s">
        <v>129</v>
      </c>
      <c r="E6" s="51" t="s">
        <v>130</v>
      </c>
    </row>
    <row r="7" customFormat="false" ht="15" hidden="false" customHeight="true" outlineLevel="0" collapsed="false">
      <c r="A7" s="50" t="s">
        <v>131</v>
      </c>
      <c r="B7" s="51" t="s">
        <v>132</v>
      </c>
      <c r="C7" s="51" t="s">
        <v>132</v>
      </c>
      <c r="D7" s="51" t="s">
        <v>133</v>
      </c>
      <c r="E7" s="51" t="s">
        <v>134</v>
      </c>
    </row>
    <row r="8" customFormat="false" ht="15" hidden="false" customHeight="true" outlineLevel="0" collapsed="false">
      <c r="A8" s="50" t="s">
        <v>135</v>
      </c>
      <c r="B8" s="51" t="s">
        <v>136</v>
      </c>
      <c r="C8" s="51" t="s">
        <v>137</v>
      </c>
      <c r="D8" s="51" t="s">
        <v>138</v>
      </c>
      <c r="E8" s="51" t="s">
        <v>139</v>
      </c>
    </row>
    <row r="9" customFormat="false" ht="15" hidden="false" customHeight="true" outlineLevel="0" collapsed="false">
      <c r="A9" s="50" t="s">
        <v>140</v>
      </c>
      <c r="B9" s="51" t="s">
        <v>141</v>
      </c>
      <c r="C9" s="51" t="s">
        <v>141</v>
      </c>
      <c r="D9" s="51" t="s">
        <v>142</v>
      </c>
      <c r="E9" s="51" t="s">
        <v>143</v>
      </c>
    </row>
    <row r="10" customFormat="false" ht="15" hidden="false" customHeight="true" outlineLevel="0" collapsed="false">
      <c r="A10" s="50" t="s">
        <v>144</v>
      </c>
      <c r="B10" s="51" t="s">
        <v>145</v>
      </c>
      <c r="C10" s="51" t="s">
        <v>146</v>
      </c>
      <c r="D10" s="51" t="s">
        <v>147</v>
      </c>
      <c r="E10" s="51" t="s">
        <v>148</v>
      </c>
    </row>
    <row r="11" customFormat="false" ht="15" hidden="false" customHeight="true" outlineLevel="0" collapsed="false">
      <c r="A11" s="50" t="s">
        <v>149</v>
      </c>
      <c r="B11" s="51" t="s">
        <v>150</v>
      </c>
      <c r="C11" s="51" t="s">
        <v>151</v>
      </c>
      <c r="D11" s="51" t="s">
        <v>152</v>
      </c>
      <c r="E11" s="51" t="s">
        <v>152</v>
      </c>
    </row>
    <row r="12" customFormat="false" ht="15" hidden="false" customHeight="true" outlineLevel="0" collapsed="false">
      <c r="A12" s="50" t="s">
        <v>153</v>
      </c>
      <c r="B12" s="51" t="s">
        <v>154</v>
      </c>
      <c r="C12" s="51" t="s">
        <v>155</v>
      </c>
      <c r="D12" s="51" t="s">
        <v>156</v>
      </c>
      <c r="E12" s="51" t="s">
        <v>157</v>
      </c>
    </row>
    <row r="13" customFormat="false" ht="15" hidden="false" customHeight="true" outlineLevel="0" collapsed="false">
      <c r="A13" s="50" t="s">
        <v>158</v>
      </c>
      <c r="B13" s="51" t="s">
        <v>159</v>
      </c>
      <c r="C13" s="51" t="s">
        <v>159</v>
      </c>
      <c r="D13" s="51" t="s">
        <v>160</v>
      </c>
      <c r="E13" s="51" t="s">
        <v>161</v>
      </c>
    </row>
    <row r="15" customFormat="false" ht="15" hidden="false" customHeight="true" outlineLevel="0" collapsed="false">
      <c r="A15" s="52" t="s">
        <v>162</v>
      </c>
      <c r="B15" s="52"/>
      <c r="C15" s="52"/>
      <c r="D15" s="52"/>
      <c r="E15" s="52"/>
    </row>
    <row r="16" customFormat="false" ht="15" hidden="false" customHeight="true" outlineLevel="0" collapsed="false">
      <c r="A16" s="53" t="s">
        <v>163</v>
      </c>
      <c r="B16" s="53"/>
      <c r="C16" s="53"/>
      <c r="D16" s="53"/>
      <c r="E16" s="53"/>
    </row>
    <row r="17" customFormat="false" ht="15" hidden="false" customHeight="true" outlineLevel="0" collapsed="false">
      <c r="A17" s="53" t="s">
        <v>164</v>
      </c>
      <c r="B17" s="53"/>
      <c r="C17" s="53"/>
      <c r="D17" s="53"/>
      <c r="E17" s="53"/>
    </row>
    <row r="18" customFormat="false" ht="15" hidden="false" customHeight="true" outlineLevel="0" collapsed="false">
      <c r="A18" s="53" t="s">
        <v>165</v>
      </c>
      <c r="B18" s="53"/>
      <c r="C18" s="53"/>
      <c r="D18" s="53"/>
      <c r="E18" s="53"/>
    </row>
    <row r="19" customFormat="false" ht="15" hidden="false" customHeight="true" outlineLevel="0" collapsed="false">
      <c r="A19" s="53" t="s">
        <v>166</v>
      </c>
      <c r="B19" s="53"/>
      <c r="C19" s="53"/>
      <c r="D19" s="53"/>
      <c r="E19" s="53"/>
    </row>
    <row r="20" customFormat="false" ht="15" hidden="false" customHeight="true" outlineLevel="0" collapsed="false">
      <c r="A20" s="53" t="s">
        <v>167</v>
      </c>
      <c r="B20" s="53"/>
      <c r="C20" s="53"/>
      <c r="D20" s="53"/>
      <c r="E20" s="53"/>
    </row>
  </sheetData>
  <mergeCells count="7">
    <mergeCell ref="A1:E1"/>
    <mergeCell ref="A15:E15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2026-03-21T21:51:39Z</dcterms:created>
  <dc:creator>openpyxl</dc:creator>
  <dc:description/>
  <dc:language>en-US</dc:language>
  <cp:lastModifiedBy/>
  <dcterms:modified xsi:type="dcterms:W3CDTF">2026-03-21T21:53:38Z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